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ropbox\RUFF\"/>
    </mc:Choice>
  </mc:AlternateContent>
  <xr:revisionPtr revIDLastSave="0" documentId="13_ncr:1_{90FD5ACA-63A6-4DA0-BE52-70B03DDA80DF}" xr6:coauthVersionLast="47" xr6:coauthVersionMax="47" xr10:uidLastSave="{00000000-0000-0000-0000-000000000000}"/>
  <bookViews>
    <workbookView xWindow="28680" yWindow="465" windowWidth="29040" windowHeight="15720" activeTab="2" xr2:uid="{6C9249CB-F628-488E-8E74-43A6FF986BCD}"/>
  </bookViews>
  <sheets>
    <sheet name="test" sheetId="3" r:id="rId1"/>
    <sheet name="2025" sheetId="1" r:id="rId2"/>
    <sheet name="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G6" i="2"/>
  <c r="G5" i="2"/>
  <c r="G4" i="2"/>
  <c r="G3" i="2"/>
  <c r="G4" i="3"/>
  <c r="G3" i="3"/>
  <c r="G2" i="3"/>
  <c r="D2" i="3"/>
  <c r="G2" i="2"/>
  <c r="G29" i="1"/>
  <c r="G28" i="1"/>
  <c r="D29" i="1"/>
  <c r="G27" i="1"/>
  <c r="G26" i="1"/>
  <c r="G25" i="1"/>
  <c r="G24" i="1"/>
  <c r="G23" i="1"/>
  <c r="G22" i="1"/>
  <c r="G21" i="1"/>
  <c r="G20" i="1"/>
  <c r="G19" i="1"/>
  <c r="G18" i="1" l="1"/>
  <c r="G14" i="1"/>
  <c r="G15" i="1" l="1"/>
  <c r="G16" i="1"/>
  <c r="G17" i="1"/>
  <c r="G11" i="1" l="1"/>
  <c r="G13" i="1"/>
  <c r="G12" i="1"/>
  <c r="G10" i="1"/>
  <c r="G9" i="1"/>
  <c r="G4" i="1"/>
  <c r="G5" i="1"/>
  <c r="G6" i="1"/>
  <c r="G7" i="1"/>
  <c r="G8" i="1"/>
  <c r="G3" i="1"/>
  <c r="G2" i="1" l="1"/>
</calcChain>
</file>

<file path=xl/sharedStrings.xml><?xml version="1.0" encoding="utf-8"?>
<sst xmlns="http://schemas.openxmlformats.org/spreadsheetml/2006/main" count="203" uniqueCount="80">
  <si>
    <t>Igor Golovin</t>
  </si>
  <si>
    <t>Chad Curran</t>
  </si>
  <si>
    <t>Bob Hagenbuch</t>
  </si>
  <si>
    <t>Rachelle Ciborowski</t>
  </si>
  <si>
    <t>Paul Cirello</t>
  </si>
  <si>
    <t>Dick Pope</t>
  </si>
  <si>
    <t>Jenna Diaz</t>
  </si>
  <si>
    <t>Michel Khlaif</t>
  </si>
  <si>
    <t>Matt Damato</t>
  </si>
  <si>
    <t>Bekim Terzij</t>
  </si>
  <si>
    <t>Bradley Berndt</t>
  </si>
  <si>
    <t>AGENT</t>
  </si>
  <si>
    <t>DATE ORDERED</t>
  </si>
  <si>
    <t>AMEX ORDER #</t>
  </si>
  <si>
    <t>CARD AMOUNT</t>
  </si>
  <si>
    <t>AGENT COST</t>
  </si>
  <si>
    <t>RECIPIENT</t>
  </si>
  <si>
    <t>PAYMENT INFO/WEEKLY REPORT DATE/FEES PAID</t>
  </si>
  <si>
    <t>NOTES</t>
  </si>
  <si>
    <t>DEALER</t>
  </si>
  <si>
    <t>Newman Chevrolet (Chad Curran) </t>
  </si>
  <si>
    <t> Norwich DCJ</t>
  </si>
  <si>
    <t>All In Auto Group Van Nuys </t>
  </si>
  <si>
    <t>Haus of Imports </t>
  </si>
  <si>
    <t>Auto Haus on Velp</t>
  </si>
  <si>
    <t>PORTAL</t>
  </si>
  <si>
    <t>ADJ AMT</t>
  </si>
  <si>
    <t>AGENT PAID</t>
  </si>
  <si>
    <t>05/05/25 AMEX Cost was $3015.90</t>
  </si>
  <si>
    <t>05/05/25 AMEX Cost was $2700.00</t>
  </si>
  <si>
    <t>05/05/25 AMEX Cost was $715.90</t>
  </si>
  <si>
    <t>05/05/25 AMEX Cost was $1665.90</t>
  </si>
  <si>
    <t>05/19/25 AMEX Cost was $3010.95</t>
  </si>
  <si>
    <t>Mark Fields</t>
  </si>
  <si>
    <t xml:space="preserve">Prespiff </t>
  </si>
  <si>
    <t>Dearth Chrysler</t>
  </si>
  <si>
    <t>Rob Black</t>
  </si>
  <si>
    <t>Shawn L. Porter</t>
  </si>
  <si>
    <t>VOLVO OF VIRGINIA BEACH</t>
  </si>
  <si>
    <t>All In Auto Group Van Nuys</t>
  </si>
  <si>
    <t>05/31/25 AMEX Cost was $2410.95</t>
  </si>
  <si>
    <t>05/31/25 AMEX Cost was $1043.95</t>
  </si>
  <si>
    <t>Myer Ahmed</t>
  </si>
  <si>
    <t>Norwich DCJ</t>
  </si>
  <si>
    <t>CRU Automotive</t>
  </si>
  <si>
    <t>Walter Davis</t>
  </si>
  <si>
    <t>06/07/25 AMEX Cost was $3,610.95</t>
  </si>
  <si>
    <t>06/07/25 AMEX Cost was $610.95</t>
  </si>
  <si>
    <t>06/30/25 AMEX Cost was $3010.95</t>
  </si>
  <si>
    <t>07/28/25 AMEX Cost was $7,335.95</t>
  </si>
  <si>
    <t>08/23/25 AMEX Cost was $3010.95</t>
  </si>
  <si>
    <t>02/16/25 AMEX Cost was $603.90</t>
  </si>
  <si>
    <t>09/13/25 AMEX Cost was $7710.95</t>
  </si>
  <si>
    <t>SHEET (old)</t>
  </si>
  <si>
    <t>10/06/25 AMEX Cost was $3010.95</t>
  </si>
  <si>
    <t>10/06/25 AMEX Cost was $2035.95</t>
  </si>
  <si>
    <t>10/06/25 AMEX Cost was $750.95</t>
  </si>
  <si>
    <t>11/03/25 AMEX Cost was $3,010.95</t>
  </si>
  <si>
    <t>11/10/25 AMEX Cost was $6,510.95</t>
  </si>
  <si>
    <t>s</t>
  </si>
  <si>
    <t>12/13/25 AMEX Cost was $4,685.95</t>
  </si>
  <si>
    <t>12/06/25 AMEX Cost was $3,010.95</t>
  </si>
  <si>
    <t>12/13/25 AMEX Cost was $4,865.95</t>
  </si>
  <si>
    <t>10/4/25 AMEX Cost was $750.95</t>
  </si>
  <si>
    <t>01/10/26 AMEX Cost was $3,810.95</t>
  </si>
  <si>
    <t>Auto Haus On Velp</t>
  </si>
  <si>
    <t>Bradley C Berndt</t>
  </si>
  <si>
    <t>01/17/2026 AMEX Cost was $3,010.95</t>
  </si>
  <si>
    <t>02/14/2026 AMEX Cost was $3,010.95</t>
  </si>
  <si>
    <t>03/14/26 AMEX Cost was $495.90</t>
  </si>
  <si>
    <t>03/21/26 AMEX Cost was $3,010.95</t>
  </si>
  <si>
    <t>Ken Sheppard</t>
  </si>
  <si>
    <t>Jeremy Niehaus</t>
  </si>
  <si>
    <t>TOWN &amp; COUNTRY FORD INC</t>
  </si>
  <si>
    <t>03/24/26 AMEX Cost was $1,610.95</t>
  </si>
  <si>
    <t>5/11/26 AMEX Cost was $3,010.95</t>
  </si>
  <si>
    <t>06/08/26 AMEX Cost was $749.95</t>
  </si>
  <si>
    <t>6/20/26 AMEX Cost was $3,010.95</t>
  </si>
  <si>
    <t>7/25/26 AMEX Cost was $3,010.95</t>
  </si>
  <si>
    <t>08/01/26 AMEX Cost was $750.95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</si>
</sst>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  <numFmt numFmtId="165" formatCode="mm/dd/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1" fontId="0" fillId="0" borderId="0" xfId="0" applyNumberFormat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1" fontId="4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</xf>
    <xf numFmtId="14" fontId="0" fillId="0" borderId="0" xfId="0" applyNumberFormat="1"/>
    <xf numFmtId="7" fontId="0" fillId="0" borderId="0" xfId="0" applyNumberFormat="1" applyAlignment="1">
      <alignment horizontal="right"/>
    </xf>
    <xf numFmtId="7" fontId="3" fillId="2" borderId="0" xfId="1" applyNumberFormat="1" applyFont="1" applyFill="1" applyAlignment="1">
      <alignment horizontal="right"/>
    </xf>
    <xf numFmtId="7" fontId="1" fillId="0" borderId="0" xfId="1" applyNumberFormat="1" applyFont="1" applyBorder="1" applyAlignment="1">
      <alignment horizontal="right"/>
    </xf>
    <xf numFmtId="7" fontId="4" fillId="0" borderId="0" xfId="1" applyNumberFormat="1" applyFont="1" applyBorder="1" applyAlignment="1">
      <alignment horizontal="right"/>
    </xf>
    <xf numFmtId="7" fontId="1" fillId="0" borderId="0" xfId="1" applyNumberFormat="1" applyFont="1" applyFill="1" applyBorder="1" applyAlignment="1">
      <alignment horizontal="center"/>
    </xf>
    <xf numFmtId="7" fontId="0" fillId="0" borderId="0" xfId="0" applyNumberFormat="1" applyAlignment="1">
      <alignment horizontal="center"/>
    </xf>
    <xf numFmtId="7" fontId="3" fillId="2" borderId="0" xfId="0" applyNumberFormat="1" applyFont="1" applyFill="1" applyAlignment="1">
      <alignment horizontal="center"/>
    </xf>
    <xf numFmtId="7" fontId="4" fillId="0" borderId="0" xfId="0" applyNumberFormat="1" applyFont="1" applyAlignment="1">
      <alignment horizontal="center"/>
    </xf>
    <xf numFmtId="7" fontId="4" fillId="0" borderId="0" xfId="0" applyNumberFormat="1" applyFont="1" applyAlignment="1">
      <alignment horizontal="right"/>
    </xf>
    <xf numFmtId="7" fontId="1" fillId="0" borderId="0" xfId="1" applyNumberFormat="1" applyFont="1" applyFill="1" applyBorder="1" applyAlignment="1">
      <alignment horizontal="right"/>
    </xf>
    <xf numFmtId="165" fontId="0" fillId="0" borderId="0" xfId="0" applyNumberFormat="1"/>
    <xf numFmtId="165" fontId="3" fillId="2" borderId="0" xfId="0" applyNumberFormat="1" applyFont="1" applyFill="1" applyAlignment="1">
      <alignment horizontal="center"/>
    </xf>
    <xf numFmtId="165" fontId="4" fillId="0" borderId="0" xfId="0" applyNumberFormat="1" applyFont="1"/>
    <xf numFmtId="164" fontId="0" fillId="0" borderId="0" xfId="0" applyNumberFormat="1"/>
    <xf numFmtId="44" fontId="0" fillId="0" borderId="0" xfId="1" applyFont="1" applyBorder="1"/>
    <xf numFmtId="44" fontId="1" fillId="0" borderId="0" xfId="1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8" fontId="3" fillId="2" borderId="0" xfId="1" applyNumberFormat="1" applyFont="1" applyFill="1" applyAlignment="1">
      <alignment horizontal="right"/>
    </xf>
    <xf numFmtId="8" fontId="0" fillId="0" borderId="0" xfId="1" applyNumberFormat="1" applyFont="1" applyBorder="1" applyAlignment="1">
      <alignment horizontal="right"/>
    </xf>
    <xf numFmtId="8" fontId="1" fillId="0" borderId="0" xfId="1" applyNumberFormat="1" applyFont="1" applyBorder="1" applyAlignment="1">
      <alignment horizontal="right"/>
    </xf>
    <xf numFmtId="8" fontId="0" fillId="0" borderId="0" xfId="1" applyNumberFormat="1" applyFont="1" applyAlignment="1">
      <alignment horizontal="right"/>
    </xf>
    <xf numFmtId="8" fontId="4" fillId="0" borderId="0" xfId="1" applyNumberFormat="1" applyFont="1" applyBorder="1" applyAlignment="1">
      <alignment horizontal="right"/>
    </xf>
    <xf numFmtId="8" fontId="0" fillId="0" borderId="0" xfId="0" applyNumberFormat="1" applyAlignment="1">
      <alignment horizontal="right"/>
    </xf>
    <xf numFmtId="8" fontId="0" fillId="0" borderId="0" xfId="1" applyNumberFormat="1" applyFont="1" applyBorder="1"/>
    <xf numFmtId="8" fontId="1" fillId="0" borderId="0" xfId="1" applyNumberFormat="1" applyFont="1" applyBorder="1" applyAlignment="1">
      <alignment horizontal="center"/>
    </xf>
    <xf numFmtId="8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7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8" fontId="3" fillId="2" borderId="0" xfId="1" applyNumberFormat="1" applyFont="1" applyFill="1" applyAlignment="1">
      <alignment horizontal="center" vertical="center"/>
    </xf>
    <xf numFmtId="7" fontId="3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1" fillId="0" borderId="0" xfId="1" applyFont="1" applyFill="1" applyBorder="1" applyAlignment="1">
      <alignment horizontal="center"/>
    </xf>
    <xf numFmtId="44" fontId="0" fillId="0" borderId="0" xfId="1" applyFont="1" applyFill="1" applyBorder="1"/>
    <xf numFmtId="44" fontId="0" fillId="0" borderId="0" xfId="1" applyFont="1"/>
    <xf numFmtId="14" fontId="3" fillId="2" borderId="0" xfId="0" applyNumberFormat="1" applyFont="1" applyFill="1" applyAlignment="1">
      <alignment horizontal="center" vertical="center"/>
    </xf>
    <xf numFmtId="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FFFA-26E5-4066-B27F-7957379D3527}">
  <dimension ref="A1:K4"/>
  <sheetViews>
    <sheetView workbookViewId="0">
      <selection activeCell="A5" sqref="A5"/>
    </sheetView>
  </sheetViews>
  <sheetFormatPr defaultRowHeight="15" x14ac:dyDescent="0.25"/>
  <cols>
    <col min="1" max="1" width="12" bestFit="1" customWidth="1"/>
    <col min="2" max="2" width="15.42578125" bestFit="1" customWidth="1"/>
    <col min="3" max="3" width="14.5703125" bestFit="1" customWidth="1"/>
    <col min="4" max="4" width="14.7109375" bestFit="1" customWidth="1"/>
    <col min="5" max="5" width="12.5703125" bestFit="1" customWidth="1"/>
    <col min="6" max="6" width="14.5703125" customWidth="1"/>
    <col min="7" max="7" width="14.42578125" customWidth="1"/>
    <col min="8" max="8" width="17.28515625" customWidth="1"/>
    <col min="9" max="9" width="25.85546875" customWidth="1"/>
    <col min="10" max="10" width="8" bestFit="1" customWidth="1"/>
    <col min="11" max="11" width="33.140625" customWidth="1"/>
  </cols>
  <sheetData>
    <row r="1" spans="1:11" s="52" customFormat="1" ht="21.75" customHeight="1" x14ac:dyDescent="0.25">
      <c r="A1" s="44" t="s">
        <v>11</v>
      </c>
      <c r="B1" s="45" t="s">
        <v>12</v>
      </c>
      <c r="C1" s="46" t="s">
        <v>13</v>
      </c>
      <c r="D1" s="50" t="s">
        <v>14</v>
      </c>
      <c r="E1" s="50" t="s">
        <v>15</v>
      </c>
      <c r="F1" s="51" t="s">
        <v>27</v>
      </c>
      <c r="G1" s="51" t="s">
        <v>26</v>
      </c>
      <c r="H1" s="47" t="s">
        <v>16</v>
      </c>
      <c r="I1" s="48" t="s">
        <v>19</v>
      </c>
      <c r="J1" s="48" t="s">
        <v>25</v>
      </c>
      <c r="K1" s="49" t="s">
        <v>18</v>
      </c>
    </row>
    <row r="2" spans="1:11" x14ac:dyDescent="0.25">
      <c r="A2" t="s">
        <v>45</v>
      </c>
      <c r="B2" s="31">
        <v>46006</v>
      </c>
      <c r="C2" s="1">
        <v>1002384295</v>
      </c>
      <c r="D2" s="32">
        <f>3000+1675</f>
        <v>4675</v>
      </c>
      <c r="E2" s="33">
        <v>4685.95</v>
      </c>
      <c r="F2" s="43">
        <v>4706.8</v>
      </c>
      <c r="G2" s="37">
        <f>F2-E2</f>
        <v>20.850000000000364</v>
      </c>
      <c r="H2" t="s">
        <v>42</v>
      </c>
      <c r="I2" s="7" t="s">
        <v>44</v>
      </c>
      <c r="J2" s="8" t="b">
        <v>0</v>
      </c>
      <c r="K2" s="17" t="s">
        <v>62</v>
      </c>
    </row>
    <row r="3" spans="1:11" x14ac:dyDescent="0.25">
      <c r="A3" t="s">
        <v>0</v>
      </c>
      <c r="B3" s="31">
        <v>45999</v>
      </c>
      <c r="C3" s="1">
        <v>1002353689</v>
      </c>
      <c r="D3" s="32">
        <v>3000</v>
      </c>
      <c r="E3" s="33">
        <v>3010.95</v>
      </c>
      <c r="F3" s="43">
        <v>3015.9</v>
      </c>
      <c r="G3" s="43">
        <f>F3-E3</f>
        <v>4.9500000000002728</v>
      </c>
      <c r="H3" t="s">
        <v>10</v>
      </c>
      <c r="I3" s="7" t="s">
        <v>24</v>
      </c>
      <c r="J3" s="8" t="b">
        <v>0</v>
      </c>
      <c r="K3" t="s">
        <v>61</v>
      </c>
    </row>
    <row r="4" spans="1:11" x14ac:dyDescent="0.25">
      <c r="A4" t="s">
        <v>36</v>
      </c>
      <c r="B4" s="31">
        <v>45936</v>
      </c>
      <c r="C4" s="1">
        <v>1002258984</v>
      </c>
      <c r="D4" s="32">
        <v>740</v>
      </c>
      <c r="E4" s="33">
        <v>750.95</v>
      </c>
      <c r="F4" s="43">
        <v>755.25</v>
      </c>
      <c r="G4" s="43">
        <f>F4-E4</f>
        <v>4.2999999999999545</v>
      </c>
      <c r="H4" t="s">
        <v>37</v>
      </c>
      <c r="I4" s="7" t="s">
        <v>38</v>
      </c>
      <c r="J4" s="8" t="b">
        <v>0</v>
      </c>
      <c r="K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9B90-47BA-4DED-BF10-1144A330234C}">
  <dimension ref="A1:M30"/>
  <sheetViews>
    <sheetView topLeftCell="C1" zoomScaleNormal="100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5" customWidth="1"/>
    <col min="2" max="2" width="15.42578125" style="28" bestFit="1" customWidth="1"/>
    <col min="3" max="3" width="14.5703125" bestFit="1" customWidth="1"/>
    <col min="4" max="4" width="16.140625" style="40" bestFit="1" customWidth="1"/>
    <col min="5" max="5" width="14.140625" style="40" bestFit="1" customWidth="1"/>
    <col min="6" max="7" width="14.140625" style="18" customWidth="1"/>
    <col min="8" max="8" width="19.140625" style="23" bestFit="1" customWidth="1"/>
    <col min="9" max="9" width="43.5703125" style="7" customWidth="1"/>
    <col min="10" max="10" width="11.42578125" style="7" customWidth="1"/>
    <col min="11" max="11" width="46.5703125" bestFit="1" customWidth="1"/>
    <col min="12" max="12" width="40.140625" customWidth="1"/>
    <col min="13" max="13" width="11" style="7" customWidth="1"/>
  </cols>
  <sheetData>
    <row r="1" spans="1:13" ht="40.5" customHeight="1" x14ac:dyDescent="0.25">
      <c r="A1" s="2" t="s">
        <v>11</v>
      </c>
      <c r="B1" s="29" t="s">
        <v>12</v>
      </c>
      <c r="C1" s="4" t="s">
        <v>13</v>
      </c>
      <c r="D1" s="35" t="s">
        <v>14</v>
      </c>
      <c r="E1" s="35" t="s">
        <v>15</v>
      </c>
      <c r="F1" s="19" t="s">
        <v>27</v>
      </c>
      <c r="G1" s="19" t="s">
        <v>26</v>
      </c>
      <c r="H1" s="24" t="s">
        <v>16</v>
      </c>
      <c r="I1" s="3" t="s">
        <v>19</v>
      </c>
      <c r="J1" s="3" t="s">
        <v>25</v>
      </c>
      <c r="K1" s="5" t="s">
        <v>17</v>
      </c>
      <c r="L1" s="5" t="s">
        <v>18</v>
      </c>
      <c r="M1" s="3" t="s">
        <v>53</v>
      </c>
    </row>
    <row r="2" spans="1:13" x14ac:dyDescent="0.25">
      <c r="A2" t="s">
        <v>0</v>
      </c>
      <c r="B2" s="28">
        <v>45782</v>
      </c>
      <c r="C2" s="1">
        <v>1002173876</v>
      </c>
      <c r="D2" s="36">
        <v>1650</v>
      </c>
      <c r="E2" s="37">
        <v>1660.95</v>
      </c>
      <c r="F2" s="20">
        <v>1665.9</v>
      </c>
      <c r="G2" s="20">
        <f>F2-E2</f>
        <v>4.9500000000000455</v>
      </c>
      <c r="H2" s="23" t="s">
        <v>1</v>
      </c>
      <c r="I2" s="6" t="s">
        <v>20</v>
      </c>
      <c r="J2" s="8" t="b">
        <v>1</v>
      </c>
      <c r="K2" t="s">
        <v>31</v>
      </c>
      <c r="M2" s="8" t="b">
        <v>1</v>
      </c>
    </row>
    <row r="3" spans="1:13" x14ac:dyDescent="0.25">
      <c r="A3" t="s">
        <v>2</v>
      </c>
      <c r="B3" s="28">
        <v>45782</v>
      </c>
      <c r="C3" s="1">
        <v>1002174060</v>
      </c>
      <c r="D3" s="36">
        <v>700</v>
      </c>
      <c r="E3" s="37">
        <v>710.95</v>
      </c>
      <c r="F3" s="20">
        <v>715.9</v>
      </c>
      <c r="G3" s="20">
        <f>F3-E3</f>
        <v>4.9499999999999318</v>
      </c>
      <c r="H3" s="23" t="s">
        <v>3</v>
      </c>
      <c r="I3" s="6" t="s">
        <v>21</v>
      </c>
      <c r="J3" s="8" t="b">
        <v>1</v>
      </c>
      <c r="K3" t="s">
        <v>30</v>
      </c>
      <c r="M3" s="8" t="b">
        <v>1</v>
      </c>
    </row>
    <row r="4" spans="1:13" x14ac:dyDescent="0.25">
      <c r="A4" t="s">
        <v>2</v>
      </c>
      <c r="B4" s="28">
        <v>45782</v>
      </c>
      <c r="C4" s="1">
        <v>1002174062</v>
      </c>
      <c r="D4" s="36">
        <v>700</v>
      </c>
      <c r="E4" s="37">
        <v>710.95</v>
      </c>
      <c r="F4" s="20">
        <v>715.9</v>
      </c>
      <c r="G4" s="20">
        <f t="shared" ref="G4:G17" si="0">F4-E4</f>
        <v>4.9499999999999318</v>
      </c>
      <c r="H4" s="23" t="s">
        <v>4</v>
      </c>
      <c r="I4" s="6" t="s">
        <v>21</v>
      </c>
      <c r="J4" s="8" t="b">
        <v>1</v>
      </c>
      <c r="K4" t="s">
        <v>30</v>
      </c>
      <c r="M4" s="8" t="b">
        <v>1</v>
      </c>
    </row>
    <row r="5" spans="1:13" x14ac:dyDescent="0.25">
      <c r="A5" t="s">
        <v>2</v>
      </c>
      <c r="B5" s="28">
        <v>45782</v>
      </c>
      <c r="C5" s="1">
        <v>1002174066</v>
      </c>
      <c r="D5" s="36">
        <v>700</v>
      </c>
      <c r="E5" s="37">
        <v>710.95</v>
      </c>
      <c r="F5" s="20">
        <v>715.9</v>
      </c>
      <c r="G5" s="20">
        <f t="shared" si="0"/>
        <v>4.9499999999999318</v>
      </c>
      <c r="H5" s="23" t="s">
        <v>5</v>
      </c>
      <c r="I5" s="6" t="s">
        <v>21</v>
      </c>
      <c r="J5" s="8" t="b">
        <v>1</v>
      </c>
      <c r="K5" t="s">
        <v>30</v>
      </c>
      <c r="M5" s="8" t="b">
        <v>1</v>
      </c>
    </row>
    <row r="6" spans="1:13" x14ac:dyDescent="0.25">
      <c r="A6" t="s">
        <v>6</v>
      </c>
      <c r="B6" s="28">
        <v>45782</v>
      </c>
      <c r="C6" s="1">
        <v>1002174072</v>
      </c>
      <c r="D6" s="38">
        <v>3000</v>
      </c>
      <c r="E6" s="38">
        <v>3010.95</v>
      </c>
      <c r="F6" s="20">
        <v>3015.9</v>
      </c>
      <c r="G6" s="20">
        <f t="shared" si="0"/>
        <v>4.9500000000002728</v>
      </c>
      <c r="H6" s="23" t="s">
        <v>7</v>
      </c>
      <c r="I6" s="6" t="s">
        <v>22</v>
      </c>
      <c r="J6" s="8" t="b">
        <v>1</v>
      </c>
      <c r="K6" t="s">
        <v>28</v>
      </c>
      <c r="M6" s="8" t="b">
        <v>1</v>
      </c>
    </row>
    <row r="7" spans="1:13" x14ac:dyDescent="0.25">
      <c r="A7" t="s">
        <v>6</v>
      </c>
      <c r="B7" s="28">
        <v>45782</v>
      </c>
      <c r="C7" s="1">
        <v>1002174072</v>
      </c>
      <c r="D7" s="36">
        <v>2700</v>
      </c>
      <c r="E7" s="36">
        <v>2700</v>
      </c>
      <c r="F7" s="20">
        <v>2715.9</v>
      </c>
      <c r="G7" s="20">
        <f t="shared" si="0"/>
        <v>15.900000000000091</v>
      </c>
      <c r="H7" s="23" t="s">
        <v>7</v>
      </c>
      <c r="I7" s="6" t="s">
        <v>22</v>
      </c>
      <c r="J7" s="8" t="b">
        <v>1</v>
      </c>
      <c r="K7" t="s">
        <v>29</v>
      </c>
      <c r="M7" s="8" t="b">
        <v>1</v>
      </c>
    </row>
    <row r="8" spans="1:13" x14ac:dyDescent="0.25">
      <c r="A8" s="9" t="s">
        <v>8</v>
      </c>
      <c r="B8" s="30">
        <v>45789</v>
      </c>
      <c r="C8" s="10">
        <v>1002178940</v>
      </c>
      <c r="D8" s="39">
        <v>2100</v>
      </c>
      <c r="E8" s="39">
        <v>2110.9499999999998</v>
      </c>
      <c r="F8" s="21"/>
      <c r="G8" s="21">
        <f t="shared" si="0"/>
        <v>-2110.9499999999998</v>
      </c>
      <c r="H8" s="25" t="s">
        <v>9</v>
      </c>
      <c r="I8" s="11" t="s">
        <v>23</v>
      </c>
      <c r="J8" s="12" t="b">
        <v>1</v>
      </c>
      <c r="K8" t="s">
        <v>34</v>
      </c>
      <c r="M8" s="12" t="b">
        <v>1</v>
      </c>
    </row>
    <row r="9" spans="1:13" x14ac:dyDescent="0.25">
      <c r="A9" t="s">
        <v>0</v>
      </c>
      <c r="B9" s="28">
        <v>45796</v>
      </c>
      <c r="C9" s="1">
        <v>1002182982</v>
      </c>
      <c r="D9" s="36">
        <v>3000</v>
      </c>
      <c r="E9" s="36">
        <v>3010.95</v>
      </c>
      <c r="F9" s="20">
        <v>3015.9</v>
      </c>
      <c r="G9" s="20">
        <f t="shared" si="0"/>
        <v>4.9500000000002728</v>
      </c>
      <c r="H9" s="23" t="s">
        <v>10</v>
      </c>
      <c r="I9" s="6" t="s">
        <v>24</v>
      </c>
      <c r="J9" s="8" t="b">
        <v>1</v>
      </c>
      <c r="K9" t="s">
        <v>32</v>
      </c>
      <c r="M9" s="8" t="b">
        <v>1</v>
      </c>
    </row>
    <row r="10" spans="1:13" x14ac:dyDescent="0.25">
      <c r="A10" s="9" t="s">
        <v>8</v>
      </c>
      <c r="B10" s="30">
        <v>45803</v>
      </c>
      <c r="C10" s="10">
        <v>1002187263</v>
      </c>
      <c r="D10" s="39">
        <v>1500</v>
      </c>
      <c r="E10" s="39">
        <v>1510.95</v>
      </c>
      <c r="F10" s="26"/>
      <c r="G10" s="21">
        <f t="shared" si="0"/>
        <v>-1510.95</v>
      </c>
      <c r="H10" s="25" t="s">
        <v>9</v>
      </c>
      <c r="I10" s="13" t="s">
        <v>23</v>
      </c>
      <c r="J10" s="14" t="b">
        <v>1</v>
      </c>
      <c r="K10" t="s">
        <v>34</v>
      </c>
      <c r="M10" s="15" t="b">
        <v>1</v>
      </c>
    </row>
    <row r="11" spans="1:13" x14ac:dyDescent="0.25">
      <c r="A11" t="s">
        <v>0</v>
      </c>
      <c r="B11" s="28">
        <v>45801</v>
      </c>
      <c r="C11">
        <v>1002187262</v>
      </c>
      <c r="D11" s="40">
        <v>3000</v>
      </c>
      <c r="E11" s="40">
        <v>3010.95</v>
      </c>
      <c r="F11" s="27">
        <v>3015.9</v>
      </c>
      <c r="G11" s="20">
        <f t="shared" si="0"/>
        <v>4.9500000000002728</v>
      </c>
      <c r="H11" s="23" t="s">
        <v>33</v>
      </c>
      <c r="I11" s="16" t="s">
        <v>35</v>
      </c>
      <c r="J11" s="15" t="b">
        <v>1</v>
      </c>
      <c r="K11" t="s">
        <v>59</v>
      </c>
      <c r="M11" s="15" t="b">
        <v>1</v>
      </c>
    </row>
    <row r="12" spans="1:13" x14ac:dyDescent="0.25">
      <c r="A12" t="s">
        <v>36</v>
      </c>
      <c r="B12" s="28">
        <v>45810</v>
      </c>
      <c r="C12">
        <v>1002191726</v>
      </c>
      <c r="D12" s="40">
        <v>1033</v>
      </c>
      <c r="E12" s="40">
        <v>1043.95</v>
      </c>
      <c r="F12" s="27">
        <v>1048.1500000000001</v>
      </c>
      <c r="G12" s="20">
        <f t="shared" si="0"/>
        <v>4.2000000000000455</v>
      </c>
      <c r="H12" s="23" t="s">
        <v>37</v>
      </c>
      <c r="I12" s="16" t="s">
        <v>38</v>
      </c>
      <c r="J12" s="15" t="b">
        <v>1</v>
      </c>
      <c r="K12" t="s">
        <v>41</v>
      </c>
      <c r="M12" s="15" t="b">
        <v>1</v>
      </c>
    </row>
    <row r="13" spans="1:13" x14ac:dyDescent="0.25">
      <c r="A13" t="s">
        <v>6</v>
      </c>
      <c r="B13" s="28">
        <v>45810</v>
      </c>
      <c r="C13">
        <v>1002191807</v>
      </c>
      <c r="D13" s="40">
        <v>2400</v>
      </c>
      <c r="E13" s="40">
        <v>2410.9499999999998</v>
      </c>
      <c r="F13" s="27">
        <v>2415.9</v>
      </c>
      <c r="G13" s="20">
        <f t="shared" si="0"/>
        <v>4.9500000000002728</v>
      </c>
      <c r="H13" s="23" t="s">
        <v>7</v>
      </c>
      <c r="I13" s="16" t="s">
        <v>39</v>
      </c>
      <c r="J13" s="15" t="b">
        <v>1</v>
      </c>
      <c r="K13" t="s">
        <v>40</v>
      </c>
      <c r="M13" s="15" t="b">
        <v>1</v>
      </c>
    </row>
    <row r="14" spans="1:13" x14ac:dyDescent="0.25">
      <c r="A14" t="s">
        <v>2</v>
      </c>
      <c r="B14" s="28">
        <v>45818</v>
      </c>
      <c r="C14">
        <v>1002197467</v>
      </c>
      <c r="D14" s="40">
        <v>600</v>
      </c>
      <c r="E14" s="40">
        <v>610.95000000000005</v>
      </c>
      <c r="F14" s="27">
        <v>615.9</v>
      </c>
      <c r="G14" s="20">
        <f>F14-E14</f>
        <v>4.9499999999999318</v>
      </c>
      <c r="H14" s="23" t="s">
        <v>3</v>
      </c>
      <c r="I14" s="16" t="s">
        <v>43</v>
      </c>
      <c r="J14" s="15" t="b">
        <v>1</v>
      </c>
      <c r="K14" t="s">
        <v>47</v>
      </c>
      <c r="M14" s="15" t="b">
        <v>1</v>
      </c>
    </row>
    <row r="15" spans="1:13" x14ac:dyDescent="0.25">
      <c r="A15" t="s">
        <v>2</v>
      </c>
      <c r="B15" s="28">
        <v>45818</v>
      </c>
      <c r="C15">
        <v>1002197471</v>
      </c>
      <c r="D15" s="40">
        <v>600</v>
      </c>
      <c r="E15" s="40">
        <v>610.95000000000005</v>
      </c>
      <c r="F15" s="27">
        <v>615.9</v>
      </c>
      <c r="G15" s="20">
        <f t="shared" si="0"/>
        <v>4.9499999999999318</v>
      </c>
      <c r="H15" s="23" t="s">
        <v>4</v>
      </c>
      <c r="I15" s="16" t="s">
        <v>43</v>
      </c>
      <c r="J15" s="15" t="b">
        <v>1</v>
      </c>
      <c r="K15" t="s">
        <v>47</v>
      </c>
      <c r="M15" s="15" t="b">
        <v>1</v>
      </c>
    </row>
    <row r="16" spans="1:13" x14ac:dyDescent="0.25">
      <c r="A16" t="s">
        <v>2</v>
      </c>
      <c r="B16" s="28">
        <v>45818</v>
      </c>
      <c r="C16">
        <v>1002197473</v>
      </c>
      <c r="D16" s="40">
        <v>600</v>
      </c>
      <c r="E16" s="40">
        <v>610.95000000000005</v>
      </c>
      <c r="F16" s="27">
        <v>615.9</v>
      </c>
      <c r="G16" s="20">
        <f t="shared" si="0"/>
        <v>4.9499999999999318</v>
      </c>
      <c r="H16" s="23" t="s">
        <v>5</v>
      </c>
      <c r="I16" s="16" t="s">
        <v>43</v>
      </c>
      <c r="J16" s="15" t="b">
        <v>1</v>
      </c>
      <c r="K16" t="s">
        <v>47</v>
      </c>
      <c r="M16" s="15" t="b">
        <v>1</v>
      </c>
    </row>
    <row r="17" spans="1:13" x14ac:dyDescent="0.25">
      <c r="A17" t="s">
        <v>45</v>
      </c>
      <c r="B17" s="28">
        <v>45818</v>
      </c>
      <c r="C17">
        <v>1002197479</v>
      </c>
      <c r="D17" s="40">
        <v>3600</v>
      </c>
      <c r="E17" s="40">
        <v>3610.95</v>
      </c>
      <c r="F17" s="27">
        <v>3615.95</v>
      </c>
      <c r="G17" s="20">
        <f t="shared" si="0"/>
        <v>5</v>
      </c>
      <c r="H17" s="23" t="s">
        <v>42</v>
      </c>
      <c r="I17" s="16" t="s">
        <v>44</v>
      </c>
      <c r="J17" s="15" t="b">
        <v>1</v>
      </c>
      <c r="K17" t="s">
        <v>46</v>
      </c>
      <c r="M17" s="15" t="b">
        <v>1</v>
      </c>
    </row>
    <row r="18" spans="1:13" x14ac:dyDescent="0.25">
      <c r="A18" t="s">
        <v>0</v>
      </c>
      <c r="B18" s="28">
        <v>45838</v>
      </c>
      <c r="C18" s="1">
        <v>1002207745</v>
      </c>
      <c r="D18" s="36">
        <v>3000</v>
      </c>
      <c r="E18" s="37">
        <v>3010.95</v>
      </c>
      <c r="F18" s="20">
        <v>3015.9</v>
      </c>
      <c r="G18" s="20">
        <f t="shared" ref="G18" si="1">F18-E18</f>
        <v>4.9500000000002728</v>
      </c>
      <c r="H18" s="23" t="s">
        <v>10</v>
      </c>
      <c r="I18" s="6" t="s">
        <v>24</v>
      </c>
      <c r="J18" s="15" t="b">
        <v>1</v>
      </c>
      <c r="K18" t="s">
        <v>48</v>
      </c>
      <c r="M18" s="15" t="b">
        <v>1</v>
      </c>
    </row>
    <row r="19" spans="1:13" x14ac:dyDescent="0.25">
      <c r="A19" t="s">
        <v>45</v>
      </c>
      <c r="B19" s="28">
        <v>45866</v>
      </c>
      <c r="C19">
        <v>1002221762</v>
      </c>
      <c r="D19" s="40">
        <v>7325</v>
      </c>
      <c r="E19" s="40">
        <v>7335.95</v>
      </c>
      <c r="F19" s="18">
        <v>7340.95</v>
      </c>
      <c r="G19" s="20">
        <f t="shared" ref="G19:G29" si="2">F19-E19</f>
        <v>5</v>
      </c>
      <c r="H19" s="22" t="s">
        <v>42</v>
      </c>
      <c r="I19" s="16" t="s">
        <v>44</v>
      </c>
      <c r="J19" s="15" t="b">
        <v>1</v>
      </c>
      <c r="K19" t="s">
        <v>49</v>
      </c>
      <c r="M19" s="15" t="b">
        <v>1</v>
      </c>
    </row>
    <row r="20" spans="1:13" x14ac:dyDescent="0.25">
      <c r="A20" t="s">
        <v>36</v>
      </c>
      <c r="B20" s="28">
        <v>45887</v>
      </c>
      <c r="C20">
        <v>1002232959</v>
      </c>
      <c r="D20" s="40">
        <v>588</v>
      </c>
      <c r="E20" s="40">
        <v>598.95000000000005</v>
      </c>
      <c r="F20" s="27">
        <v>603.9</v>
      </c>
      <c r="G20" s="20">
        <f t="shared" si="2"/>
        <v>4.9499999999999318</v>
      </c>
      <c r="H20" s="23" t="s">
        <v>37</v>
      </c>
      <c r="I20" s="16" t="s">
        <v>38</v>
      </c>
      <c r="J20" s="15" t="b">
        <v>1</v>
      </c>
      <c r="K20" t="s">
        <v>51</v>
      </c>
      <c r="L20" s="17"/>
      <c r="M20" s="15" t="b">
        <v>1</v>
      </c>
    </row>
    <row r="21" spans="1:13" x14ac:dyDescent="0.25">
      <c r="A21" t="s">
        <v>0</v>
      </c>
      <c r="B21" s="28">
        <v>45894</v>
      </c>
      <c r="C21">
        <v>1002236322</v>
      </c>
      <c r="D21" s="40">
        <v>3000</v>
      </c>
      <c r="E21" s="40">
        <v>3010.95</v>
      </c>
      <c r="F21" s="27">
        <v>3015.9</v>
      </c>
      <c r="G21" s="20">
        <f t="shared" si="2"/>
        <v>4.9500000000002728</v>
      </c>
      <c r="H21" s="23" t="s">
        <v>10</v>
      </c>
      <c r="I21" s="6" t="s">
        <v>24</v>
      </c>
      <c r="J21" s="15" t="b">
        <v>1</v>
      </c>
      <c r="K21" t="s">
        <v>50</v>
      </c>
      <c r="L21" s="17"/>
      <c r="M21" s="15" t="b">
        <v>1</v>
      </c>
    </row>
    <row r="22" spans="1:13" x14ac:dyDescent="0.25">
      <c r="A22" t="s">
        <v>45</v>
      </c>
      <c r="B22" s="28">
        <v>45915</v>
      </c>
      <c r="C22">
        <v>1002247134</v>
      </c>
      <c r="D22" s="40">
        <v>7700</v>
      </c>
      <c r="E22" s="40">
        <v>7710.95</v>
      </c>
      <c r="F22" s="18">
        <v>7747.7000000000007</v>
      </c>
      <c r="G22" s="20">
        <f t="shared" si="2"/>
        <v>36.750000000000909</v>
      </c>
      <c r="H22" s="22" t="s">
        <v>42</v>
      </c>
      <c r="I22" s="16" t="s">
        <v>44</v>
      </c>
      <c r="J22" s="15" t="b">
        <v>1</v>
      </c>
      <c r="K22" t="s">
        <v>52</v>
      </c>
      <c r="L22" s="43"/>
    </row>
    <row r="23" spans="1:13" x14ac:dyDescent="0.25">
      <c r="A23" t="s">
        <v>0</v>
      </c>
      <c r="B23" s="28">
        <v>45936</v>
      </c>
      <c r="C23">
        <v>1002258975</v>
      </c>
      <c r="D23" s="40">
        <v>3000</v>
      </c>
      <c r="E23" s="40">
        <v>3010.95</v>
      </c>
      <c r="F23" s="18">
        <v>3015.9</v>
      </c>
      <c r="G23" s="20">
        <f t="shared" si="2"/>
        <v>4.9500000000002728</v>
      </c>
      <c r="H23" s="22" t="s">
        <v>10</v>
      </c>
      <c r="I23" s="6" t="s">
        <v>24</v>
      </c>
      <c r="J23" s="15" t="b">
        <v>1</v>
      </c>
      <c r="K23" t="s">
        <v>54</v>
      </c>
      <c r="L23" s="43"/>
    </row>
    <row r="24" spans="1:13" x14ac:dyDescent="0.25">
      <c r="A24" t="s">
        <v>45</v>
      </c>
      <c r="B24" s="28">
        <v>45936</v>
      </c>
      <c r="C24">
        <v>1002259124</v>
      </c>
      <c r="D24" s="40">
        <v>2025</v>
      </c>
      <c r="E24" s="40">
        <v>2035.95</v>
      </c>
      <c r="F24" s="18">
        <v>2040.9</v>
      </c>
      <c r="G24" s="20">
        <f t="shared" si="2"/>
        <v>4.9500000000000455</v>
      </c>
      <c r="H24" s="22" t="s">
        <v>42</v>
      </c>
      <c r="I24" s="16" t="s">
        <v>44</v>
      </c>
      <c r="J24" s="15" t="b">
        <v>1</v>
      </c>
      <c r="K24" t="s">
        <v>55</v>
      </c>
    </row>
    <row r="25" spans="1:13" x14ac:dyDescent="0.25">
      <c r="A25" t="s">
        <v>36</v>
      </c>
      <c r="B25" s="28">
        <v>45936</v>
      </c>
      <c r="C25">
        <v>1002258984</v>
      </c>
      <c r="D25" s="40">
        <v>740</v>
      </c>
      <c r="E25" s="40">
        <v>750.95</v>
      </c>
      <c r="F25" s="18">
        <v>755.25</v>
      </c>
      <c r="G25" s="20">
        <f t="shared" si="2"/>
        <v>4.2999999999999545</v>
      </c>
      <c r="H25" s="22" t="s">
        <v>37</v>
      </c>
      <c r="I25" s="16" t="s">
        <v>38</v>
      </c>
      <c r="J25" s="15" t="b">
        <v>1</v>
      </c>
      <c r="K25" t="s">
        <v>56</v>
      </c>
    </row>
    <row r="26" spans="1:13" x14ac:dyDescent="0.25">
      <c r="A26" t="s">
        <v>0</v>
      </c>
      <c r="B26" s="28">
        <v>45964</v>
      </c>
      <c r="C26">
        <v>1002282446</v>
      </c>
      <c r="D26" s="40">
        <v>3000</v>
      </c>
      <c r="E26" s="40">
        <v>3010.95</v>
      </c>
      <c r="F26" s="18">
        <v>3015.9</v>
      </c>
      <c r="G26" s="20">
        <f t="shared" si="2"/>
        <v>4.9500000000002728</v>
      </c>
      <c r="H26" s="22" t="s">
        <v>10</v>
      </c>
      <c r="I26" s="6" t="s">
        <v>24</v>
      </c>
      <c r="J26" s="15" t="b">
        <v>1</v>
      </c>
      <c r="K26" t="s">
        <v>57</v>
      </c>
    </row>
    <row r="27" spans="1:13" x14ac:dyDescent="0.25">
      <c r="A27" t="s">
        <v>45</v>
      </c>
      <c r="B27" s="28">
        <v>45971</v>
      </c>
      <c r="C27">
        <v>1002292921</v>
      </c>
      <c r="D27" s="40">
        <v>6500</v>
      </c>
      <c r="E27" s="40">
        <v>6510.95</v>
      </c>
      <c r="F27" s="18">
        <v>6547.7</v>
      </c>
      <c r="G27" s="20">
        <f t="shared" si="2"/>
        <v>36.75</v>
      </c>
      <c r="H27" s="22" t="s">
        <v>42</v>
      </c>
      <c r="I27" s="16" t="s">
        <v>44</v>
      </c>
      <c r="J27" s="15" t="b">
        <v>1</v>
      </c>
      <c r="K27" t="s">
        <v>58</v>
      </c>
    </row>
    <row r="28" spans="1:13" x14ac:dyDescent="0.25">
      <c r="A28" t="s">
        <v>0</v>
      </c>
      <c r="B28" s="31">
        <v>45999</v>
      </c>
      <c r="C28" s="1">
        <v>1002353689</v>
      </c>
      <c r="D28" s="41">
        <v>3000</v>
      </c>
      <c r="E28" s="42">
        <v>3010.95</v>
      </c>
      <c r="F28" s="18">
        <v>3015.9</v>
      </c>
      <c r="G28" s="20">
        <f t="shared" si="2"/>
        <v>4.9500000000002728</v>
      </c>
      <c r="H28" s="7" t="s">
        <v>10</v>
      </c>
      <c r="I28" s="6" t="s">
        <v>24</v>
      </c>
      <c r="J28" s="15" t="b">
        <v>1</v>
      </c>
      <c r="K28" t="s">
        <v>61</v>
      </c>
    </row>
    <row r="29" spans="1:13" x14ac:dyDescent="0.25">
      <c r="A29" t="s">
        <v>45</v>
      </c>
      <c r="B29" s="31">
        <v>46006</v>
      </c>
      <c r="C29" s="1">
        <v>1002384295</v>
      </c>
      <c r="D29" s="41">
        <f>3000+1675</f>
        <v>4675</v>
      </c>
      <c r="E29" s="42">
        <v>4685.95</v>
      </c>
      <c r="F29" s="18">
        <v>4706.8</v>
      </c>
      <c r="G29" s="20">
        <f t="shared" si="2"/>
        <v>20.850000000000364</v>
      </c>
      <c r="H29" s="7" t="s">
        <v>42</v>
      </c>
      <c r="I29" s="16" t="s">
        <v>44</v>
      </c>
      <c r="J29" s="15" t="b">
        <v>1</v>
      </c>
      <c r="K29" t="s">
        <v>60</v>
      </c>
    </row>
    <row r="30" spans="1:13" x14ac:dyDescent="0.25">
      <c r="B30" s="31"/>
      <c r="C30" s="1"/>
      <c r="D30" s="32"/>
      <c r="E30" s="34"/>
      <c r="G30" s="27"/>
      <c r="H30"/>
      <c r="I30" s="16"/>
      <c r="J30" s="15" t="b">
        <v>0</v>
      </c>
      <c r="M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576-5FD2-4BC0-8D2C-A75E1A1E1A3B}">
  <dimension ref="A1:O12"/>
  <sheetViews>
    <sheetView tabSelected="1" workbookViewId="0">
      <selection activeCell="K12" sqref="K12"/>
    </sheetView>
  </sheetViews>
  <sheetFormatPr defaultRowHeight="15" x14ac:dyDescent="0.25"/>
  <cols>
    <col min="1" max="1" width="14.140625" customWidth="1"/>
    <col min="2" max="2" width="15.42578125" style="17" bestFit="1" customWidth="1"/>
    <col min="3" max="3" width="14.5703125" bestFit="1" customWidth="1"/>
    <col min="4" max="4" width="14.7109375" bestFit="1" customWidth="1"/>
    <col min="5" max="5" width="12.5703125" bestFit="1" customWidth="1"/>
    <col min="6" max="6" width="11.85546875" bestFit="1" customWidth="1"/>
    <col min="7" max="7" width="11.28515625" customWidth="1"/>
    <col min="8" max="8" width="17.42578125" customWidth="1"/>
    <col min="9" max="9" width="32.5703125" bestFit="1" customWidth="1"/>
    <col min="10" max="10" width="8" bestFit="1" customWidth="1"/>
    <col min="11" max="11" width="44.5703125" customWidth="1"/>
    <col min="15" max="15" width="10.5703125" bestFit="1" customWidth="1"/>
  </cols>
  <sheetData>
    <row r="1" spans="1:15" s="52" customFormat="1" ht="21.75" customHeight="1" x14ac:dyDescent="0.25">
      <c r="A1" s="44" t="s">
        <v>11</v>
      </c>
      <c r="B1" s="56" t="s">
        <v>12</v>
      </c>
      <c r="C1" s="46" t="s">
        <v>13</v>
      </c>
      <c r="D1" s="50" t="s">
        <v>14</v>
      </c>
      <c r="E1" s="50" t="s">
        <v>15</v>
      </c>
      <c r="F1" s="51" t="s">
        <v>27</v>
      </c>
      <c r="G1" s="51" t="s">
        <v>26</v>
      </c>
      <c r="H1" s="47" t="s">
        <v>16</v>
      </c>
      <c r="I1" s="48" t="s">
        <v>19</v>
      </c>
      <c r="J1" s="48" t="s">
        <v>25</v>
      </c>
      <c r="K1" s="49" t="s">
        <v>18</v>
      </c>
    </row>
    <row r="2" spans="1:15" x14ac:dyDescent="0.25">
      <c r="A2" t="s">
        <v>45</v>
      </c>
      <c r="B2" s="17">
        <v>46034</v>
      </c>
      <c r="C2" s="1">
        <v>1002443755</v>
      </c>
      <c r="D2" s="32">
        <v>3800</v>
      </c>
      <c r="E2" s="33">
        <v>3810.95</v>
      </c>
      <c r="F2" s="55">
        <v>3831.8</v>
      </c>
      <c r="G2" s="37">
        <f t="shared" ref="G2:G12" si="0">F2-E2</f>
        <v>20.850000000000364</v>
      </c>
      <c r="H2" t="s">
        <v>42</v>
      </c>
      <c r="I2" s="16" t="s">
        <v>44</v>
      </c>
      <c r="J2" s="8" t="b">
        <v>1</v>
      </c>
      <c r="K2" t="s">
        <v>64</v>
      </c>
    </row>
    <row r="3" spans="1:15" x14ac:dyDescent="0.25">
      <c r="A3" t="s">
        <v>0</v>
      </c>
      <c r="B3" s="17">
        <v>46041</v>
      </c>
      <c r="C3" s="1">
        <v>1002447334</v>
      </c>
      <c r="D3" s="32">
        <v>3000</v>
      </c>
      <c r="E3" s="33">
        <v>3010.95</v>
      </c>
      <c r="F3" s="55">
        <v>3015.9</v>
      </c>
      <c r="G3" s="43">
        <f t="shared" si="0"/>
        <v>4.9500000000002728</v>
      </c>
      <c r="H3" t="s">
        <v>66</v>
      </c>
      <c r="I3" s="16" t="s">
        <v>65</v>
      </c>
      <c r="J3" s="8" t="b">
        <v>1</v>
      </c>
      <c r="K3" s="17" t="s">
        <v>67</v>
      </c>
    </row>
    <row r="4" spans="1:15" x14ac:dyDescent="0.25">
      <c r="A4" t="s">
        <v>0</v>
      </c>
      <c r="B4" s="17">
        <v>46069</v>
      </c>
      <c r="C4" s="1">
        <v>1002463240</v>
      </c>
      <c r="D4" s="32">
        <v>3000</v>
      </c>
      <c r="E4" s="33">
        <v>3010.95</v>
      </c>
      <c r="F4" s="55">
        <v>3015.9</v>
      </c>
      <c r="G4" s="43">
        <f t="shared" si="0"/>
        <v>4.9500000000002728</v>
      </c>
      <c r="H4" t="s">
        <v>66</v>
      </c>
      <c r="I4" s="16" t="s">
        <v>65</v>
      </c>
      <c r="J4" s="8" t="b">
        <v>1</v>
      </c>
      <c r="K4" s="17" t="s">
        <v>68</v>
      </c>
    </row>
    <row r="5" spans="1:15" x14ac:dyDescent="0.25">
      <c r="A5" t="s">
        <v>36</v>
      </c>
      <c r="B5" s="17">
        <v>46096</v>
      </c>
      <c r="C5">
        <v>1002477897</v>
      </c>
      <c r="D5" s="32">
        <v>480</v>
      </c>
      <c r="E5" s="53">
        <v>490.95</v>
      </c>
      <c r="F5" s="55">
        <v>495.9</v>
      </c>
      <c r="G5" s="43">
        <f t="shared" si="0"/>
        <v>4.9499999999999886</v>
      </c>
      <c r="H5" t="s">
        <v>37</v>
      </c>
      <c r="I5" s="16" t="s">
        <v>38</v>
      </c>
      <c r="J5" s="8" t="b">
        <v>1</v>
      </c>
      <c r="K5" t="s">
        <v>69</v>
      </c>
      <c r="O5" s="43"/>
    </row>
    <row r="6" spans="1:15" x14ac:dyDescent="0.25">
      <c r="A6" t="s">
        <v>0</v>
      </c>
      <c r="B6" s="17">
        <v>46104</v>
      </c>
      <c r="C6">
        <v>1002481583</v>
      </c>
      <c r="D6" s="54">
        <v>3000</v>
      </c>
      <c r="E6" s="53">
        <v>3010.95</v>
      </c>
      <c r="F6" s="55">
        <v>3015.9</v>
      </c>
      <c r="G6" s="43">
        <f t="shared" si="0"/>
        <v>4.9500000000002728</v>
      </c>
      <c r="H6" t="s">
        <v>66</v>
      </c>
      <c r="I6" s="16" t="s">
        <v>65</v>
      </c>
      <c r="J6" s="8" t="b">
        <v>1</v>
      </c>
      <c r="K6" t="s">
        <v>70</v>
      </c>
      <c r="O6" s="43"/>
    </row>
    <row r="7" spans="1:15" x14ac:dyDescent="0.25">
      <c r="A7" t="s">
        <v>71</v>
      </c>
      <c r="B7" s="17">
        <v>46105</v>
      </c>
      <c r="C7">
        <v>1002482774</v>
      </c>
      <c r="D7" s="54">
        <v>1600</v>
      </c>
      <c r="E7" s="53">
        <v>1610.95</v>
      </c>
      <c r="F7" s="55">
        <v>1615.9</v>
      </c>
      <c r="G7" s="43">
        <f t="shared" si="0"/>
        <v>4.9500000000000455</v>
      </c>
      <c r="H7" t="s">
        <v>72</v>
      </c>
      <c r="I7" s="16" t="s">
        <v>73</v>
      </c>
      <c r="J7" s="8" t="b">
        <v>1</v>
      </c>
      <c r="K7" t="s">
        <v>74</v>
      </c>
    </row>
    <row r="8" spans="1:15" x14ac:dyDescent="0.25">
      <c r="A8" t="s">
        <v>0</v>
      </c>
      <c r="B8" s="17">
        <v>46153</v>
      </c>
      <c r="C8">
        <v>1002514217</v>
      </c>
      <c r="D8" s="54">
        <v>3000</v>
      </c>
      <c r="E8" s="53">
        <v>3010.95</v>
      </c>
      <c r="F8" s="55">
        <v>3015.9</v>
      </c>
      <c r="G8" s="43">
        <f t="shared" si="0"/>
        <v>4.9500000000002728</v>
      </c>
      <c r="H8" t="s">
        <v>66</v>
      </c>
      <c r="I8" s="16" t="s">
        <v>65</v>
      </c>
      <c r="J8" s="8" t="b">
        <v>1</v>
      </c>
      <c r="K8" t="s">
        <v>75</v>
      </c>
    </row>
    <row r="9" spans="1:15" x14ac:dyDescent="0.25">
      <c r="A9" t="s">
        <v>36</v>
      </c>
      <c r="B9" s="17">
        <v>46181</v>
      </c>
      <c r="C9">
        <v>1002532487</v>
      </c>
      <c r="D9" s="32">
        <v>739</v>
      </c>
      <c r="E9" s="33">
        <v>749.95</v>
      </c>
      <c r="F9" s="55">
        <v>754.9</v>
      </c>
      <c r="G9" s="43">
        <f t="shared" si="0"/>
        <v>4.9499999999999318</v>
      </c>
      <c r="H9" t="s">
        <v>37</v>
      </c>
      <c r="I9" s="16" t="s">
        <v>38</v>
      </c>
      <c r="J9" s="8" t="b">
        <v>1</v>
      </c>
      <c r="K9" t="s">
        <v>76</v>
      </c>
    </row>
    <row r="10" spans="1:15" x14ac:dyDescent="0.25">
      <c r="A10" t="s">
        <v>0</v>
      </c>
      <c r="B10" s="17">
        <v>46194</v>
      </c>
      <c r="C10">
        <v>1002541053</v>
      </c>
      <c r="D10" s="54">
        <v>3000</v>
      </c>
      <c r="E10" s="53">
        <v>3010.95</v>
      </c>
      <c r="F10" s="55">
        <v>3015.9</v>
      </c>
      <c r="G10" s="43">
        <f t="shared" si="0"/>
        <v>4.9500000000002728</v>
      </c>
      <c r="H10" t="s">
        <v>66</v>
      </c>
      <c r="I10" s="16" t="s">
        <v>65</v>
      </c>
      <c r="J10" s="8" t="b">
        <v>1</v>
      </c>
      <c r="K10" s="17" t="s">
        <v>77</v>
      </c>
    </row>
    <row r="11" spans="1:15" x14ac:dyDescent="0.25">
      <c r="A11" t="s">
        <v>0</v>
      </c>
      <c r="B11" s="17">
        <v>46229</v>
      </c>
      <c r="C11">
        <v>1002560371</v>
      </c>
      <c r="D11" s="54">
        <v>3000</v>
      </c>
      <c r="E11" s="53">
        <v>3010.95</v>
      </c>
      <c r="F11" s="55">
        <v>3015.9</v>
      </c>
      <c r="G11" s="43">
        <f t="shared" si="0"/>
        <v>4.9500000000002728</v>
      </c>
      <c r="H11" t="s">
        <v>66</v>
      </c>
      <c r="I11" s="16" t="s">
        <v>65</v>
      </c>
      <c r="J11" s="8" t="b">
        <v>1</v>
      </c>
      <c r="K11" t="s">
        <v>78</v>
      </c>
    </row>
    <row r="12" spans="1:15" x14ac:dyDescent="0.25">
      <c r="A12" t="s">
        <v>36</v>
      </c>
      <c r="B12" s="17">
        <v>46237</v>
      </c>
      <c r="C12">
        <v>1002564080</v>
      </c>
      <c r="D12" s="55">
        <v>740</v>
      </c>
      <c r="E12" s="55">
        <v>750.95</v>
      </c>
      <c r="F12" s="55">
        <v>755</v>
      </c>
      <c r="G12" s="57">
        <f>F12-E12</f>
        <v>4.0499999999999545</v>
      </c>
      <c r="H12" t="s">
        <v>37</v>
      </c>
      <c r="I12" s="16" t="s">
        <v>38</v>
      </c>
      <c r="J12" s="8" t="b">
        <v>1</v>
      </c>
      <c r="K12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Berman</dc:creator>
  <cp:lastModifiedBy>Alexander Berman</cp:lastModifiedBy>
  <dcterms:created xsi:type="dcterms:W3CDTF">2025-05-19T15:27:59Z</dcterms:created>
  <dcterms:modified xsi:type="dcterms:W3CDTF">2026-08-04T15:58:19Z</dcterms:modified>
</cp:coreProperties>
</file>